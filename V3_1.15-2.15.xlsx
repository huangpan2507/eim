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tietoevry.sharepoint.com/sites/EIMcase/Shared Documents/default/V3/"/>
    </mc:Choice>
  </mc:AlternateContent>
  <xr:revisionPtr revIDLastSave="0" documentId="8_{3DE0E3C3-6B93-4DFC-B676-39AB2DCFB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未完成的内容 (2)" sheetId="7" r:id="rId1"/>
    <sheet name="未完成的内容" sheetId="2" r:id="rId2"/>
    <sheet name="计划 (2)" sheetId="5" r:id="rId3"/>
    <sheet name="计划(3)" sheetId="6" r:id="rId4"/>
    <sheet name="计划" sheetId="4" r:id="rId5"/>
    <sheet name="PLAN" sheetId="3" r:id="rId6"/>
  </sheets>
  <definedNames>
    <definedName name="_xlnm._FilterDatabase" localSheetId="3" hidden="1">'计划(3)'!$A$1:$H$21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</calcChain>
</file>

<file path=xl/sharedStrings.xml><?xml version="1.0" encoding="utf-8"?>
<sst xmlns="http://schemas.openxmlformats.org/spreadsheetml/2006/main" count="420" uniqueCount="218">
  <si>
    <t>归属模块</t>
  </si>
  <si>
    <t>待完成项</t>
  </si>
  <si>
    <t>Ask ai</t>
  </si>
  <si>
    <t>高等级的agent需要有低等级agent的能力</t>
  </si>
  <si>
    <t>Ask ai的思考过程变成3行滚动</t>
  </si>
  <si>
    <t>思考暂停按钮</t>
  </si>
  <si>
    <t>Ask me all文本替换</t>
  </si>
  <si>
    <t>另外聊天对话框里 由于输出文本很长 文字一直在底部刷新 导致用户必须等待答案输出结束后才能看 可否改成不要一直把视角刷到底部 而是允许用户通过滚动条定位在用户看的位置</t>
  </si>
  <si>
    <t>ask ai里每个agent需要可配置主数据的访问权限</t>
  </si>
  <si>
    <t>事件维度的权限控制</t>
  </si>
  <si>
    <t>多轮对话</t>
  </si>
  <si>
    <t>百分比进度条</t>
  </si>
  <si>
    <t>Ask ai的prompt加个可复位的功能</t>
  </si>
  <si>
    <t>战略把关者的实现太严格，应该是牵引的作用</t>
  </si>
  <si>
    <t>维度分析时，维度的度需要采集汇总，哪些度需要采集</t>
  </si>
  <si>
    <t>会话历史</t>
  </si>
  <si>
    <t>决策透明和可视化，和图互动，逻辑推理链条</t>
  </si>
  <si>
    <t>决策助手 多channel，直接替代消息中心，参考chatgpt的project</t>
  </si>
  <si>
    <t>智能演算</t>
  </si>
  <si>
    <t>用户输入一个vision的描述，生成多个候选的vision供用户选择，多个之间存在细微差别，但是核心都是用户的描述。</t>
  </si>
  <si>
    <t>根据vision，生成milestone(关联到指标系统的指标集，以及权重)，不同vision生成的milestone需要做聚合，构建节点间的路径</t>
  </si>
  <si>
    <t>Foundation</t>
  </si>
  <si>
    <t>app运行支持用户切换tab，并行独立运行</t>
  </si>
  <si>
    <t>UI界面优化，信息量需要密集一些</t>
  </si>
  <si>
    <t>app下disk可以通过拖拽改变顺序</t>
  </si>
  <si>
    <t>app上传的文件，workflow的log，用户聊天记录，都需要通过打标程序进入foundation，数据权限控制</t>
  </si>
  <si>
    <t>app支持历史记录UI展示</t>
  </si>
  <si>
    <t>创建光盘使用的prompt需要保存</t>
  </si>
  <si>
    <t>创建disk，简化操作</t>
  </si>
  <si>
    <t>根据流程树生成政策</t>
  </si>
  <si>
    <t>使用后台任务，而不是前台执行，参考uber，显示车的位置和人的位置（进度条）</t>
  </si>
  <si>
    <t>添加llm自我检查的能力</t>
  </si>
  <si>
    <t>app使用界面当前所处位置显示</t>
  </si>
  <si>
    <t>对于Published App的禁用界面</t>
  </si>
  <si>
    <t>superuser在custom界面需要看到所有app</t>
  </si>
  <si>
    <t>不同类型survey计算的逻辑功能</t>
  </si>
  <si>
    <t>运行app后的report导出功能</t>
  </si>
  <si>
    <t>在问卷生成的文本框里可以设置提示文本</t>
  </si>
  <si>
    <t>光盘的自我迭代，自我更新能力（演进方案）</t>
  </si>
  <si>
    <t>自动化</t>
  </si>
  <si>
    <t>根据用户意图生成workflow的set，给个链接，采购的预生成</t>
  </si>
  <si>
    <t>协助填写文本框内的内容</t>
  </si>
  <si>
    <t>workflow</t>
  </si>
  <si>
    <t>workflow的长期稳定运行(比如workflow执行过程中关闭浏览器、断网、数据库连接中断、服务器重启导致需要中途恢复，以前跑过的节点不需要再重跑)</t>
  </si>
  <si>
    <t>workflow结果的归集展示</t>
  </si>
  <si>
    <t>workflow的审计，观测业务数据流转，token消耗等</t>
  </si>
  <si>
    <t>画布</t>
  </si>
  <si>
    <t>share画布的两种方式/以及对应的share management适配</t>
  </si>
  <si>
    <t>信息收集器优化</t>
  </si>
  <si>
    <t>需要对从什么电脑，mac地址，设备号的信息进行记录，并且可以通过某个属性归纳类别，后续需要提供给workflow或者app中使用</t>
  </si>
  <si>
    <t>上传的文件进行批次打包，给app使用</t>
  </si>
  <si>
    <t>删除已经上传数据的功能</t>
  </si>
  <si>
    <t>ticnote, dingtalk，外部会议软件集成</t>
  </si>
  <si>
    <t>3.从云盘（onedrive）采集数据</t>
  </si>
  <si>
    <t>提供从网页端读取摄像头，麦克风输入并且保存的功能</t>
  </si>
  <si>
    <t>通用</t>
  </si>
  <si>
    <t>主数据更新时，通过llm的泛化能力，取消对excel格式的约束，可以采用映射的方式</t>
  </si>
  <si>
    <t>新手指引(主数据的导入，维度的导入)，呈现分层次的采集结果，用户反馈，页面，通用维度的导入，流程树的导入</t>
  </si>
  <si>
    <t>通知中心整合所有审核功能</t>
  </si>
  <si>
    <t>通用维度设置primary代替原本name的功能，但是primary需要每次读取上传的excel之后让用户选择</t>
  </si>
  <si>
    <t>流程维度直接disable删除</t>
  </si>
  <si>
    <t>记录important value时，不要用id去记录</t>
  </si>
  <si>
    <t>Event description应该是把其他要素全整合到一起的</t>
  </si>
  <si>
    <t>event维度的抽取层次太高了，需要在具体一些</t>
  </si>
  <si>
    <t>wizmap</t>
  </si>
  <si>
    <t>wizmap把左边的text去掉，如果有大段文字的话，加一些段落符或者空行</t>
  </si>
  <si>
    <t>政策树</t>
  </si>
  <si>
    <t>政策树，政策召回 不再使用rag的形式，使用标签的形式，增加政策的维度，每个5级流程对应一个政策or sop，展示哪些流程被现有政策覆盖，生成dashboard，点亮的深度，政策是否充分，需要政策树的知识，进行垂直领域的分析，依据llm能力，比如招投标，流程上存在，但是内容很少，政策中一个子section写了三行，llm去评估是否足够支持这个行为，影响亮灯逻辑。政策关联的流程等标签，拉出来看执行的效果</t>
  </si>
  <si>
    <t>决策助手</t>
  </si>
  <si>
    <t>权限控制，根据个人权限，只能看到有权限的数据并做决策</t>
  </si>
  <si>
    <t>决策助手的所有prompt在UI展示并且可修改</t>
  </si>
  <si>
    <t>决策步骤可视化</t>
  </si>
  <si>
    <t>过程结论展示，可以根据引用agent的层级，归纳每个层级引用了哪些agent，让决策透明化</t>
  </si>
  <si>
    <t>数据查询</t>
  </si>
  <si>
    <t>支持app历史记录查询</t>
  </si>
  <si>
    <t>维度透视表</t>
  </si>
  <si>
    <t>支持app筛选，需要具体讨论</t>
  </si>
  <si>
    <t>推演机制完善</t>
  </si>
  <si>
    <t>亮灯图合并，换轴，轴可以是BU，部门，流程</t>
  </si>
  <si>
    <t>演算agent
step0，生成不同的vision
step1.确定现在的状态 
step2.生成粗粒度的vision road map 
step3.生成细粒度的推演路径"</t>
  </si>
  <si>
    <t>2维展示record的语义热点图</t>
  </si>
  <si>
    <t>维度增加流程间关系，参考Activities图</t>
  </si>
  <si>
    <t>维度增加提供入口，根据用户上传文件，抽取维度信息并且集成到foundation中，包括信息采集器打标，agent处理时的打标</t>
  </si>
  <si>
    <t>网页控制agent</t>
  </si>
  <si>
    <t xml:space="preserve">
workflow的发布，share的方式以及share management</t>
  </si>
  <si>
    <t>需要支持用户修改模板，改完后workflow需要发布审批;
workflow 给用户用：
场景1：只需要配置App node，其他节点的参数不能改动，如有改动，
，则需要重新发布审批；
workflow template运行记录需要以时间线的形式，展示所有节点的业务流转状况；
condition node用大模型做分类，参考dify分类器；</t>
  </si>
  <si>
    <r>
      <rPr>
        <sz val="11"/>
        <color rgb="FF242424"/>
        <rFont val="Aptos Narrow"/>
        <family val="2"/>
      </rPr>
      <t>3.从云盘（</t>
    </r>
    <r>
      <rPr>
        <sz val="11"/>
        <color rgb="FFFF0000"/>
        <rFont val="Aptos Narrow"/>
        <family val="2"/>
      </rPr>
      <t>onedrive</t>
    </r>
    <r>
      <rPr>
        <sz val="11"/>
        <color rgb="FF242424"/>
        <rFont val="Aptos Narrow"/>
        <family val="2"/>
      </rPr>
      <t>, sharepoint）采集数据</t>
    </r>
  </si>
  <si>
    <t>公司profile配置</t>
  </si>
  <si>
    <t>前端UI</t>
  </si>
  <si>
    <t>app上传的文件，workflow的log，用户聊天记录，都需要通过打标程序进入foundation，数据scope</t>
  </si>
  <si>
    <t>决策助手打开闲聊</t>
  </si>
  <si>
    <t>文件批次打包，给app使用</t>
  </si>
  <si>
    <t>模块</t>
  </si>
  <si>
    <t>项目</t>
  </si>
  <si>
    <t>优先级</t>
  </si>
  <si>
    <t>预计完成时间</t>
  </si>
  <si>
    <t>负责人</t>
  </si>
  <si>
    <t>状态</t>
  </si>
  <si>
    <t>备注</t>
  </si>
  <si>
    <t>workflow发布、审批</t>
  </si>
  <si>
    <t>2025.1.22</t>
  </si>
  <si>
    <t>zhiguo</t>
  </si>
  <si>
    <t>done</t>
  </si>
  <si>
    <t>todo:从市场加入的workflow，修改后变为draft状态</t>
  </si>
  <si>
    <t>workflow assign调整，涉及到human in the loop节点重构，以支持人工查看上传的文件内容；
涉及到assign时，被assign人的消息中心应该看到哪些内容？(required actions的所有内容吗？)</t>
  </si>
  <si>
    <t>2025.1.25</t>
  </si>
  <si>
    <t>huangpan</t>
  </si>
  <si>
    <t>新增问题分类节点(Question classifier Node)，类似于dify的问题分类节点</t>
  </si>
  <si>
    <t>判断-名字</t>
  </si>
  <si>
    <t>workflow个人记录保存查看（点击已存在的workflow卡片可以再次进行加载编辑）</t>
  </si>
  <si>
    <t>qingsong</t>
  </si>
  <si>
    <t>human in the loop node task type 新增 assign questionnaire survey任务类型
需要增加下拉appID选项，目的是把问卷调查app分发出去，
需要增加支持多人，目的是提供需要填写问卷调查的人员，
view output 提供查看每个人的进度(done、ToDo)以及每个人填写结果的展示功能，
点击展示按钮，将弹出每个人的问卷调查展示UI悬浮框
搭建测试场景</t>
  </si>
  <si>
    <t>guanghao</t>
  </si>
  <si>
    <t>在app node的view output里加dashboard disk的结果，使用画布的读取逻辑</t>
  </si>
  <si>
    <t>节点数据流重构，每个node的数据需要分开，提供统一保存数据和提取数据接口</t>
  </si>
  <si>
    <t>ongoing</t>
  </si>
  <si>
    <t>human in the loop, node configure卡顿问题解决</t>
  </si>
  <si>
    <r>
      <rPr>
        <sz val="11"/>
        <color rgb="FF000000"/>
        <rFont val="Aptos Narrow"/>
        <family val="2"/>
      </rPr>
      <t>workflow执行过程中的进度展示，</t>
    </r>
    <r>
      <rPr>
        <sz val="11"/>
        <color rgb="FFFF0000"/>
        <rFont val="Aptos Narrow"/>
        <family val="2"/>
      </rPr>
      <t>执行结果可读性优化</t>
    </r>
    <r>
      <rPr>
        <sz val="11"/>
        <color rgb="FF000000"/>
        <rFont val="Aptos Narrow"/>
        <family val="2"/>
      </rPr>
      <t>，数据提供下载</t>
    </r>
  </si>
  <si>
    <t>node删除有时候删不掉</t>
  </si>
  <si>
    <t>集成</t>
  </si>
  <si>
    <t>2025.1.26</t>
  </si>
  <si>
    <t>workflow实例化</t>
  </si>
  <si>
    <t>并联的逻辑，多个节点的输出汇聚到一个节点</t>
  </si>
  <si>
    <t>workflow实例后台运行和管理</t>
  </si>
  <si>
    <t>原有流程打通</t>
  </si>
  <si>
    <t>原始数据导出，filter。新增一个页面负责原始数据的导出，原始数据指的是被标签化后的数据，可以通过标签进行筛选，标签目前包含流程，人员，app，事件，时间，支持通用维度。原始数据本身包含字段：event_locations, important_values, result_description, event_involved_enetities, event_description, tag_time, event_time_node, trigger_description。 筛选使用下拉框+搜索，可以预览前5条记录，通过export按钮导出和预览格式相同的excel文件</t>
  </si>
  <si>
    <t>3人天</t>
  </si>
  <si>
    <t>流程维度数据导入UI，新增一个维度导入界面，可以查看当前存在的维度，可以删除维度(对原本的数据会删除这个维度相关的边)，导入时需要选择类型是流程还是通用，选择流程维度时，需要上传一个结构类似Process Classfication Framework APQC for Education.xlsx的excel文件，导入逻辑是增量更新，只会变化和之前不同的部分，是否变化取决于ID和Name的对应是否和之前一致</t>
  </si>
  <si>
    <t>2.2</t>
  </si>
  <si>
    <t>通用维度导入UI，在维度导入界面，选择通用维度时，需要提供一个统一样式的excel文件，然后设置通用维度的名称，这个名称需要唯一，不能和之前的维度重复，导入后在打标签时,数据导出界面，决策助手都可以使用通用维度标签(决策助手需要适配通用维度的增加)</t>
  </si>
  <si>
    <t>4人天</t>
  </si>
  <si>
    <t>2.6</t>
  </si>
  <si>
    <r>
      <rPr>
        <sz val="11"/>
        <color rgb="FF000000"/>
        <rFont val="Aptos Narrow"/>
        <family val="2"/>
      </rPr>
      <t>主数据利用policy library复用管理，主数据类型支持多少种？修改policy library界面为主数据library，支持不同主数据间的切换，每个主数据的管理流程完全复用policy library，（</t>
    </r>
    <r>
      <rPr>
        <sz val="11"/>
        <color rgb="FF4EA72E"/>
        <rFont val="Aptos Narrow"/>
        <family val="2"/>
      </rPr>
      <t>当前复用policy library逻辑无法让主数据被app和决策助手感知到主数据</t>
    </r>
    <r>
      <rPr>
        <sz val="11"/>
        <color rgb="FF000000"/>
        <rFont val="Aptos Narrow"/>
        <family val="2"/>
      </rPr>
      <t>）允许增加主数据，编辑管理功能。</t>
    </r>
  </si>
  <si>
    <t>2.4</t>
  </si>
  <si>
    <t>主数据需要被foundation的agent感知到，政策先用md的方式（mongodb）</t>
  </si>
  <si>
    <t>2.12</t>
  </si>
  <si>
    <t>ask ai的agent prompt暴露，包括战略把关者和决策产生者。ask ai的几个角色分开，通过下拉框选择</t>
  </si>
  <si>
    <t>2人天</t>
  </si>
  <si>
    <t>2.14</t>
  </si>
  <si>
    <t>可视化</t>
  </si>
  <si>
    <t>2维的数据筛选语义热点图, 类似wizmap的展示形态. 提供一个可视化页面，筛选逻辑和原始数据导出的筛选逻辑一致，提供多个下拉复选框，选择好筛选范围后，语义图展示的是筛选出的原始数据的语义图，语义来源为原始数据多个字段的拼接。（不包含vision图层）尝试时间筛选</t>
  </si>
  <si>
    <t>亮灯图，用类似wizmap 散点图展示的逻辑(x:流程，事件，y:BU，部门) 可换成右侧这个图来展示</t>
  </si>
  <si>
    <t>决策助手决策流程步骤可视化，参考右图。内圈维度，外圈简短的2-3字原因，点开查看evidence，可以选择单一维度和全局维度，组合维度</t>
  </si>
  <si>
    <t>5人天</t>
  </si>
  <si>
    <t>新手指引</t>
  </si>
  <si>
    <t>新手指引(主数据的导入)，staff, vendor, customer, payroll, policy, process，ken会提供完整的流程和每一步需要导入的文件，就是初始化，汇总界面，收到了没收到</t>
  </si>
  <si>
    <t>需要拿到流程再估计，10人天？</t>
  </si>
  <si>
    <t xml:space="preserve">文件格式必须固定
对于政策文件管理员需要一次性上传所有文件？不需要
需要走管理员审核场景吗？需要
vendor, customer, payroll给agent查询
</t>
  </si>
  <si>
    <t>搭建采购场景的workflow，包括app，其他节点等（生成workflow的前置条件）</t>
  </si>
  <si>
    <t>rachel</t>
  </si>
  <si>
    <t>在ask ai的聊天助手里，根据用户意图、主数据和专用光盘信息（需要提供：内部控制等规则）生成workflow的模板，给个链接。生成的workflow准确度不保障，只能保证可以加载出来并且逻辑上是通顺的，但是其中每个节点的配置仍然需要人工去确认和修改</t>
  </si>
  <si>
    <t>7人天</t>
  </si>
  <si>
    <t>从流程主数据生成光盘模板，可以在app里进行修改，在流程维度导入的页面添加按钮调用(不确保可以在无人工干预下直接运行，需要人工修改)，可以根据前缀结构序号规定生成的范围</t>
  </si>
  <si>
    <t>app的standard使用界面信息量需要密集一些，左侧app框体小一些、图标小一点，右侧app使用界面，删除整体无用的文字显示，历史记录展示，点击切换</t>
  </si>
  <si>
    <t>人员主数据变更与测试修改</t>
  </si>
  <si>
    <t>（1）在BU上一级新增以及BU Group分支
（2）新增Function和Sub-Function， 代替Department
（3）政策库权限使用Funciton控制
（4）邮箱大小写需要设置为不敏感
（5）组织职能绑定用户配置优化(head变换为owner)
（6）GRC Advisor无法配置问题
（7）Role数据支持导出
（8）用户管理界面用户表，提供排序功能
（9）Role页面添加用户界面美化</t>
  </si>
  <si>
    <t>1.30</t>
  </si>
  <si>
    <t>时间安排</t>
  </si>
  <si>
    <t>1.28-1.30</t>
  </si>
  <si>
    <t>数据</t>
  </si>
  <si>
    <t>2.3-2.5</t>
  </si>
  <si>
    <r>
      <rPr>
        <sz val="11"/>
        <color rgb="FF000000"/>
        <rFont val="Aptos Narrow"/>
      </rPr>
      <t>通用维度导入UI，在维度导入界面，选择通用维度时，需要提供一个统一样式的excel文件，然后设置通用维度的名称，这个名称需要唯一，不能和之前的维度重复，导入后在打标签时,数据导出界面，</t>
    </r>
    <r>
      <rPr>
        <sz val="11"/>
        <color rgb="FFFF0000"/>
        <rFont val="Aptos Narrow"/>
      </rPr>
      <t>决策助手都可以使用通用维度标签(决策助手需要适配通用维度的增加)</t>
    </r>
  </si>
  <si>
    <t>1.30-2.4</t>
  </si>
  <si>
    <r>
      <rPr>
        <sz val="11"/>
        <color rgb="FF000000"/>
        <rFont val="Aptos Narrow"/>
      </rPr>
      <t>主数据（非结构化）利用policy library复用管理，主数据类型支持多少种？修改policy library界面为主数据library，支持不同主数据间的切换，每个主数据的管理流程完全复用policy library，（</t>
    </r>
    <r>
      <rPr>
        <sz val="11"/>
        <color rgb="FF4EA72E"/>
        <rFont val="Aptos Narrow"/>
      </rPr>
      <t>当前复用policy library逻辑无法让主数据被app和决策助手感知到主数据</t>
    </r>
    <r>
      <rPr>
        <sz val="11"/>
        <color rgb="FF000000"/>
        <rFont val="Aptos Narrow"/>
      </rPr>
      <t>）允许增加主数据，编辑管理功能。</t>
    </r>
  </si>
  <si>
    <t>2.2-2.6</t>
  </si>
  <si>
    <t>主数据(半结构化)录入及管理</t>
  </si>
  <si>
    <t>政策的数据向量化存储+Ask ai的使用全流程打通</t>
  </si>
  <si>
    <t>2.2-2.4</t>
  </si>
  <si>
    <t>非结构化和半结构化的主数据被ask ai的atlas使用</t>
  </si>
  <si>
    <t>2.9-2.14</t>
  </si>
  <si>
    <t>O</t>
  </si>
  <si>
    <t>非结构化和半结构化的主数据被foundation的app使用，创建app时配置</t>
  </si>
  <si>
    <t>新计划中</t>
  </si>
  <si>
    <t>ask ai</t>
  </si>
  <si>
    <t>2.6-2.9</t>
  </si>
  <si>
    <t>2.10-2.14</t>
  </si>
  <si>
    <t xml:space="preserve">亮灯图，用类似wizmap 散点图展示的逻辑(x:流程，事件，y:BU，部门) </t>
  </si>
  <si>
    <t>guanghao</t>
    <phoneticPr fontId="12" type="noConversion"/>
  </si>
  <si>
    <t>2.5-2.9</t>
  </si>
  <si>
    <t>1.29-2.3</t>
  </si>
  <si>
    <r>
      <rPr>
        <sz val="11"/>
        <color rgb="FF000000"/>
        <rFont val="Aptos Narrow"/>
      </rPr>
      <t>原始数据导出，filter。新增一个页面负责原始数据的导出，原始数据指的是被标签化后的数据，可以通过标签进行筛选，标签目前包含流程，人员，app，事件，时间，支持通用维度。原始数据本身包含字段：event_locations, important_values, result_description, event_involved_enetities, event_description, tag_time, event_time_node, trigger_description, 还有标签。 筛选使用下拉框+搜索，</t>
    </r>
    <r>
      <rPr>
        <sz val="11"/>
        <color rgb="FFFF0000"/>
        <rFont val="Aptos Narrow"/>
      </rPr>
      <t>可以预览前5条记录</t>
    </r>
    <r>
      <rPr>
        <sz val="11"/>
        <color rgb="FF000000"/>
        <rFont val="Aptos Narrow"/>
      </rPr>
      <t>，通过export按钮导出</t>
    </r>
    <r>
      <rPr>
        <sz val="11"/>
        <color rgb="FFFF0000"/>
        <rFont val="Aptos Narrow"/>
      </rPr>
      <t>和预览格式相</t>
    </r>
    <r>
      <rPr>
        <sz val="11"/>
        <color rgb="FF000000"/>
        <rFont val="Aptos Narrow"/>
      </rPr>
      <t>同的excel文件</t>
    </r>
  </si>
  <si>
    <t>2.4-2.6</t>
  </si>
  <si>
    <t>2.10-2.12</t>
  </si>
  <si>
    <t>2.13-2.14</t>
  </si>
  <si>
    <t>pending</t>
  </si>
  <si>
    <t>qingsong</t>
    <phoneticPr fontId="12" type="noConversion"/>
  </si>
  <si>
    <t>优化+debug</t>
  </si>
  <si>
    <t>通用llm和ask ai agent并行，最后合并结果</t>
  </si>
  <si>
    <t>2025.1.30</t>
  </si>
  <si>
    <t>workflow condition node节点废弃，新增问题分类节点，类似于dify的问题分类节点</t>
  </si>
  <si>
    <t>未发布前的个人workflow管理，如保存查看draft，重命名</t>
  </si>
  <si>
    <t>2025.2.14</t>
  </si>
  <si>
    <t>workflow中弃用节点，以及页面弃用功能按钮的去除</t>
  </si>
  <si>
    <t>原始数据导出，filter</t>
  </si>
  <si>
    <t>流程维度数据导入UI</t>
  </si>
  <si>
    <t>通用维度导入UI</t>
  </si>
  <si>
    <t>主数据利用policy library复用管理</t>
  </si>
  <si>
    <t>2维的数据筛选语义热点图</t>
  </si>
  <si>
    <t>亮灯图，用wizmap的逻辑进行展示</t>
  </si>
  <si>
    <t>决策助手决策流程步骤可视化</t>
  </si>
  <si>
    <t>新手指引(主数据的导入)，staff, vendor, customer, payroll, policy, process</t>
  </si>
  <si>
    <t>ai能力</t>
  </si>
  <si>
    <t>根据用户意图和主数据生成workflow的set，给个链接，采购的预生成</t>
  </si>
  <si>
    <t>部署</t>
  </si>
  <si>
    <t>sharepoint打通</t>
  </si>
  <si>
    <t>SSO基础功能：
a) 认证逻辑
b）合法身份对接：信息补全+管理员审批
c) 集成Azure SSO
d）通过本地测试</t>
  </si>
  <si>
    <t>具体事项</t>
  </si>
  <si>
    <t>预计工时（人天）</t>
  </si>
  <si>
    <t>vision的配置管理</t>
  </si>
  <si>
    <t>图结构的CRUD接口</t>
  </si>
  <si>
    <t>地标建筑的生成</t>
  </si>
  <si>
    <t>可视化，重要路径高亮</t>
  </si>
  <si>
    <t>支持onedrive</t>
  </si>
  <si>
    <t>政策树，政策召回 不再使用rag的形式，使用标签的形式，增加政策的维度，展示哪些流程被现有政策覆盖，agent可以调用政策的知识，进行垂直领域的分析。</t>
  </si>
  <si>
    <t>workflow的保存，发布、share的方式以及share management</t>
  </si>
  <si>
    <t>UI优化</t>
  </si>
  <si>
    <t>风格统一</t>
  </si>
  <si>
    <t>用户使用习惯适配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</si>
</sst>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1"/>
      <color rgb="FF000000"/>
      <name val="Aptos Narrow"/>
      <family val="2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9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FF0000"/>
      <name val="Aptos Narrow"/>
      <family val="2"/>
    </font>
    <font>
      <strike/>
      <sz val="11"/>
      <color rgb="FF000000"/>
      <name val="Aptos Narrow"/>
      <family val="2"/>
    </font>
    <font>
      <strike/>
      <sz val="11"/>
      <color theme="1"/>
      <name val="等线"/>
      <family val="2"/>
      <scheme val="minor"/>
    </font>
    <font>
      <sz val="11"/>
      <color theme="9"/>
      <name val="等线"/>
      <family val="3"/>
      <charset val="134"/>
      <scheme val="minor"/>
    </font>
    <font>
      <sz val="11"/>
      <color rgb="FF242424"/>
      <name val="Aptos Narrow"/>
      <family val="2"/>
    </font>
    <font>
      <sz val="11"/>
      <color rgb="FF4EA72E"/>
      <name val="Aptos Narrow"/>
      <family val="2"/>
    </font>
    <font>
      <sz val="9"/>
      <name val="等线"/>
      <family val="3"/>
      <charset val="134"/>
      <scheme val="minor"/>
    </font>
    <font>
      <sz val="11"/>
      <color rgb="FF000000"/>
      <name val="Aptos Narrow"/>
    </font>
    <font>
      <sz val="11"/>
      <color rgb="FFFF0000"/>
      <name val="Aptos Narrow"/>
    </font>
    <font>
      <sz val="11"/>
      <color rgb="FF4EA72E"/>
      <name val="Aptos Narrow"/>
    </font>
    <font>
      <sz val="11"/>
      <color rgb="FF000000"/>
      <name val="Aptos Narrow"/>
      <scheme val="minor"/>
    </font>
    <font>
      <sz val="11"/>
      <color theme="1"/>
      <name val="Microsoft YaHei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6" xfId="0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0" fillId="0" borderId="4" xfId="0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4" xfId="0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4" xfId="0" applyNumberFormat="1" applyBorder="1"/>
    <xf numFmtId="0" fontId="0" fillId="0" borderId="7" xfId="0" applyBorder="1"/>
    <xf numFmtId="0" fontId="0" fillId="0" borderId="6" xfId="0" applyBorder="1"/>
    <xf numFmtId="0" fontId="0" fillId="0" borderId="8" xfId="0" applyBorder="1" applyAlignment="1">
      <alignment wrapText="1"/>
    </xf>
    <xf numFmtId="49" fontId="0" fillId="0" borderId="0" xfId="0" applyNumberFormat="1"/>
    <xf numFmtId="0" fontId="0" fillId="0" borderId="3" xfId="0" applyBorder="1"/>
    <xf numFmtId="0" fontId="13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7" fillId="0" borderId="1" xfId="0" applyFont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17</xdr:row>
      <xdr:rowOff>1171575</xdr:rowOff>
    </xdr:from>
    <xdr:to>
      <xdr:col>14</xdr:col>
      <xdr:colOff>342900</xdr:colOff>
      <xdr:row>24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EAE99-1C49-F6DC-C7CE-21E2329D5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3544550"/>
          <a:ext cx="4114800" cy="550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163F-985F-4950-A6EA-3DA73C2E45BC}">
  <dimension ref="A1:C56"/>
  <sheetViews>
    <sheetView tabSelected="1" workbookViewId="0">
      <selection activeCell="B8" sqref="B8"/>
    </sheetView>
  </sheetViews>
  <sheetFormatPr defaultRowHeight="14.25"/>
  <cols>
    <col min="1" max="1" width="15.625" style="7" customWidth="1"/>
    <col min="2" max="2" width="77.75" style="7" customWidth="1"/>
    <col min="3" max="3" width="22.75" customWidth="1"/>
  </cols>
  <sheetData>
    <row r="1" spans="1:2" ht="15">
      <c r="A1" s="40" t="s">
        <v>0</v>
      </c>
      <c r="B1" s="7" t="s">
        <v>1</v>
      </c>
    </row>
    <row r="2" spans="1:2" ht="15">
      <c r="A2" s="46" t="s">
        <v>2</v>
      </c>
      <c r="B2" s="12" t="s">
        <v>3</v>
      </c>
    </row>
    <row r="3" spans="1:2" ht="16.5">
      <c r="A3" s="46"/>
      <c r="B3" s="41" t="s">
        <v>4</v>
      </c>
    </row>
    <row r="4" spans="1:2" ht="16.5">
      <c r="A4" s="46"/>
      <c r="B4" s="41" t="s">
        <v>5</v>
      </c>
    </row>
    <row r="5" spans="1:2" ht="16.5">
      <c r="A5" s="46"/>
      <c r="B5" s="41" t="s">
        <v>6</v>
      </c>
    </row>
    <row r="6" spans="1:2" ht="32.25">
      <c r="A6" s="46"/>
      <c r="B6" s="43" t="s">
        <v>7</v>
      </c>
    </row>
    <row r="7" spans="1:2" ht="15">
      <c r="A7" s="46"/>
      <c r="B7" s="7" t="s">
        <v>8</v>
      </c>
    </row>
    <row r="8" spans="1:2" ht="15">
      <c r="A8" s="46"/>
      <c r="B8" s="7" t="s">
        <v>9</v>
      </c>
    </row>
    <row r="9" spans="1:2" ht="16.5">
      <c r="A9" s="46"/>
      <c r="B9" s="41" t="s">
        <v>10</v>
      </c>
    </row>
    <row r="10" spans="1:2" ht="16.5">
      <c r="A10" s="46"/>
      <c r="B10" s="41" t="s">
        <v>11</v>
      </c>
    </row>
    <row r="11" spans="1:2" ht="16.5">
      <c r="A11" s="46"/>
      <c r="B11" s="41" t="s">
        <v>12</v>
      </c>
    </row>
    <row r="12" spans="1:2" ht="16.5">
      <c r="A12" s="46"/>
      <c r="B12" s="41" t="s">
        <v>13</v>
      </c>
    </row>
    <row r="13" spans="1:2" ht="15">
      <c r="A13" s="46"/>
      <c r="B13" s="12" t="s">
        <v>14</v>
      </c>
    </row>
    <row r="14" spans="1:2" ht="15">
      <c r="A14" s="46"/>
      <c r="B14" s="12" t="s">
        <v>15</v>
      </c>
    </row>
    <row r="15" spans="1:2" ht="15">
      <c r="A15" s="46"/>
      <c r="B15" s="12" t="s">
        <v>16</v>
      </c>
    </row>
    <row r="16" spans="1:2" ht="15">
      <c r="A16" s="46"/>
      <c r="B16" s="12" t="s">
        <v>17</v>
      </c>
    </row>
    <row r="17" spans="1:3" ht="29.25">
      <c r="A17" s="47" t="s">
        <v>18</v>
      </c>
      <c r="B17" s="7" t="s">
        <v>19</v>
      </c>
      <c r="C17" s="24"/>
    </row>
    <row r="18" spans="1:3" ht="29.25">
      <c r="A18" s="47"/>
      <c r="B18" s="7" t="s">
        <v>20</v>
      </c>
      <c r="C18" s="24"/>
    </row>
    <row r="19" spans="1:3" ht="15">
      <c r="A19" s="46" t="s">
        <v>21</v>
      </c>
      <c r="B19" s="12" t="s">
        <v>22</v>
      </c>
    </row>
    <row r="20" spans="1:3" ht="15">
      <c r="A20" s="46"/>
      <c r="B20" s="12" t="s">
        <v>23</v>
      </c>
    </row>
    <row r="21" spans="1:3" ht="15">
      <c r="A21" s="46"/>
      <c r="B21" s="7" t="s">
        <v>24</v>
      </c>
    </row>
    <row r="22" spans="1:3" ht="29.25">
      <c r="A22" s="46"/>
      <c r="B22" s="7" t="s">
        <v>25</v>
      </c>
    </row>
    <row r="23" spans="1:3" ht="15">
      <c r="A23" s="46"/>
      <c r="B23" s="12" t="s">
        <v>26</v>
      </c>
    </row>
    <row r="24" spans="1:3" ht="15">
      <c r="A24" s="46"/>
      <c r="B24" s="42" t="s">
        <v>27</v>
      </c>
    </row>
    <row r="25" spans="1:3" ht="15">
      <c r="A25" s="46"/>
      <c r="B25" s="42" t="s">
        <v>28</v>
      </c>
    </row>
    <row r="26" spans="1:3" ht="15.75">
      <c r="A26" s="46"/>
      <c r="B26" s="43" t="s">
        <v>29</v>
      </c>
    </row>
    <row r="27" spans="1:3" ht="15">
      <c r="A27" s="46"/>
      <c r="B27" s="12" t="s">
        <v>30</v>
      </c>
    </row>
    <row r="28" spans="1:3" ht="15">
      <c r="A28" s="46"/>
      <c r="B28" s="12" t="s">
        <v>31</v>
      </c>
    </row>
    <row r="29" spans="1:3" ht="15">
      <c r="A29" s="46"/>
      <c r="B29" s="7" t="s">
        <v>32</v>
      </c>
    </row>
    <row r="30" spans="1:3" ht="15">
      <c r="A30" s="46"/>
      <c r="B30" s="7" t="s">
        <v>33</v>
      </c>
    </row>
    <row r="31" spans="1:3" ht="15">
      <c r="A31" s="46"/>
      <c r="B31" s="7" t="s">
        <v>34</v>
      </c>
    </row>
    <row r="32" spans="1:3" ht="15">
      <c r="A32" s="46"/>
      <c r="B32" s="7" t="s">
        <v>35</v>
      </c>
    </row>
    <row r="33" spans="1:2" ht="15">
      <c r="A33" s="46"/>
      <c r="B33" s="7" t="s">
        <v>36</v>
      </c>
    </row>
    <row r="34" spans="1:2" ht="15">
      <c r="A34" s="46"/>
      <c r="B34" s="7" t="s">
        <v>37</v>
      </c>
    </row>
    <row r="35" spans="1:2" ht="15">
      <c r="A35" s="46"/>
      <c r="B35" s="12" t="s">
        <v>38</v>
      </c>
    </row>
    <row r="36" spans="1:2" ht="15">
      <c r="A36" s="46" t="s">
        <v>39</v>
      </c>
      <c r="B36" s="12" t="s">
        <v>40</v>
      </c>
    </row>
    <row r="37" spans="1:2" ht="15">
      <c r="A37" s="46"/>
      <c r="B37" s="7" t="s">
        <v>41</v>
      </c>
    </row>
    <row r="38" spans="1:2" ht="29.25">
      <c r="A38" s="46" t="s">
        <v>42</v>
      </c>
      <c r="B38" s="7" t="s">
        <v>43</v>
      </c>
    </row>
    <row r="39" spans="1:2" ht="15">
      <c r="A39" s="46"/>
      <c r="B39" s="7" t="s">
        <v>44</v>
      </c>
    </row>
    <row r="40" spans="1:2" ht="15">
      <c r="A40" s="46"/>
      <c r="B40" s="12" t="s">
        <v>45</v>
      </c>
    </row>
    <row r="41" spans="1:2" ht="15">
      <c r="A41" s="7" t="s">
        <v>46</v>
      </c>
      <c r="B41" s="12" t="s">
        <v>47</v>
      </c>
    </row>
    <row r="42" spans="1:2" ht="29.25">
      <c r="A42" s="44" t="s">
        <v>48</v>
      </c>
      <c r="B42" s="12" t="s">
        <v>49</v>
      </c>
    </row>
    <row r="43" spans="1:2" ht="15">
      <c r="A43" s="44"/>
      <c r="B43" s="7" t="s">
        <v>50</v>
      </c>
    </row>
    <row r="44" spans="1:2" ht="16.5">
      <c r="A44" s="44"/>
      <c r="B44" s="41" t="s">
        <v>51</v>
      </c>
    </row>
    <row r="45" spans="1:2" ht="15">
      <c r="A45" s="44"/>
      <c r="B45" s="12" t="s">
        <v>52</v>
      </c>
    </row>
    <row r="46" spans="1:2" ht="15.75">
      <c r="A46" s="44"/>
      <c r="B46" s="15" t="s">
        <v>53</v>
      </c>
    </row>
    <row r="47" spans="1:2" ht="15">
      <c r="A47" s="44"/>
      <c r="B47" s="12" t="s">
        <v>54</v>
      </c>
    </row>
    <row r="48" spans="1:2" ht="15">
      <c r="A48" s="45" t="s">
        <v>55</v>
      </c>
      <c r="B48" s="7" t="s">
        <v>56</v>
      </c>
    </row>
    <row r="49" spans="1:2" ht="29.25">
      <c r="A49" s="45"/>
      <c r="B49" s="12" t="s">
        <v>57</v>
      </c>
    </row>
    <row r="50" spans="1:2" ht="15">
      <c r="A50" s="45"/>
      <c r="B50" s="7" t="s">
        <v>58</v>
      </c>
    </row>
    <row r="51" spans="1:2" ht="33">
      <c r="A51" s="45"/>
      <c r="B51" s="41" t="s">
        <v>59</v>
      </c>
    </row>
    <row r="52" spans="1:2" ht="16.5">
      <c r="A52" s="45"/>
      <c r="B52" s="41" t="s">
        <v>60</v>
      </c>
    </row>
    <row r="53" spans="1:2" ht="16.5">
      <c r="A53" s="45"/>
      <c r="B53" s="41" t="s">
        <v>61</v>
      </c>
    </row>
    <row r="54" spans="1:2" ht="16.5">
      <c r="A54" s="45"/>
      <c r="B54" s="41" t="s">
        <v>62</v>
      </c>
    </row>
    <row r="55" spans="1:2" ht="16.5">
      <c r="A55" s="45"/>
      <c r="B55" s="41" t="s">
        <v>63</v>
      </c>
    </row>
    <row r="56" spans="1:2" ht="15.75">
      <c r="A56" s="7" t="s">
        <v>64</v>
      </c>
      <c r="B56" s="43" t="s">
        <v>65</v>
      </c>
    </row>
  </sheetData>
  <mergeCells count="7">
    <mergeCell ref="A42:A47"/>
    <mergeCell ref="A48:A55"/>
    <mergeCell ref="A2:A16"/>
    <mergeCell ref="A17:A18"/>
    <mergeCell ref="A19:A35"/>
    <mergeCell ref="A36:A37"/>
    <mergeCell ref="A38:A40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C3C4-7609-4DFC-B1E8-830255DE05A7}">
  <dimension ref="A1:C45"/>
  <sheetViews>
    <sheetView topLeftCell="A26" workbookViewId="0">
      <selection activeCell="B33" sqref="B33"/>
    </sheetView>
  </sheetViews>
  <sheetFormatPr defaultRowHeight="13.9"/>
  <cols>
    <col min="1" max="1" width="15.625" style="10" customWidth="1"/>
    <col min="2" max="2" width="77.75" style="7" customWidth="1"/>
    <col min="3" max="3" width="22.75" customWidth="1"/>
  </cols>
  <sheetData>
    <row r="1" spans="1:3">
      <c r="A1" s="6" t="s">
        <v>0</v>
      </c>
      <c r="B1" s="7" t="s">
        <v>1</v>
      </c>
    </row>
    <row r="2" spans="1:3" ht="106.5" customHeight="1">
      <c r="A2" s="6" t="s">
        <v>66</v>
      </c>
      <c r="B2" s="7" t="s">
        <v>67</v>
      </c>
    </row>
    <row r="3" spans="1:3">
      <c r="A3" s="58" t="s">
        <v>68</v>
      </c>
      <c r="B3" s="7" t="s">
        <v>69</v>
      </c>
    </row>
    <row r="4" spans="1:3">
      <c r="A4" s="58"/>
      <c r="B4" s="7" t="s">
        <v>70</v>
      </c>
    </row>
    <row r="5" spans="1:3">
      <c r="A5" s="58"/>
      <c r="B5" s="7" t="s">
        <v>71</v>
      </c>
    </row>
    <row r="6" spans="1:3" ht="27.6">
      <c r="A6" s="58"/>
      <c r="B6" s="7" t="s">
        <v>72</v>
      </c>
    </row>
    <row r="7" spans="1:3">
      <c r="A7" s="58"/>
      <c r="B7" s="7" t="s">
        <v>14</v>
      </c>
    </row>
    <row r="8" spans="1:3">
      <c r="A8" s="58"/>
      <c r="B8" s="8" t="s">
        <v>15</v>
      </c>
    </row>
    <row r="9" spans="1:3">
      <c r="A9" s="58"/>
      <c r="B9" s="7" t="s">
        <v>16</v>
      </c>
    </row>
    <row r="10" spans="1:3">
      <c r="A10" s="58"/>
      <c r="B10" s="8" t="s">
        <v>17</v>
      </c>
    </row>
    <row r="11" spans="1:3">
      <c r="A11" s="6" t="s">
        <v>73</v>
      </c>
      <c r="B11" s="7" t="s">
        <v>74</v>
      </c>
    </row>
    <row r="12" spans="1:3">
      <c r="A12" s="6" t="s">
        <v>75</v>
      </c>
      <c r="B12" s="7" t="s">
        <v>76</v>
      </c>
    </row>
    <row r="13" spans="1:3">
      <c r="A13" s="54" t="s">
        <v>18</v>
      </c>
      <c r="B13" s="7" t="s">
        <v>77</v>
      </c>
      <c r="C13" s="13"/>
    </row>
    <row r="14" spans="1:3">
      <c r="A14" s="55"/>
      <c r="B14" s="8" t="s">
        <v>78</v>
      </c>
      <c r="C14" s="13"/>
    </row>
    <row r="15" spans="1:3" ht="69">
      <c r="A15" s="55"/>
      <c r="B15" s="7" t="s">
        <v>79</v>
      </c>
      <c r="C15" s="13"/>
    </row>
    <row r="16" spans="1:3">
      <c r="A16" s="56"/>
      <c r="B16" s="11" t="s">
        <v>80</v>
      </c>
      <c r="C16" s="13"/>
    </row>
    <row r="17" spans="1:3">
      <c r="A17" s="58" t="s">
        <v>21</v>
      </c>
      <c r="B17" s="8" t="s">
        <v>22</v>
      </c>
      <c r="C17" s="57"/>
    </row>
    <row r="18" spans="1:3">
      <c r="A18" s="58"/>
      <c r="B18" s="8" t="s">
        <v>23</v>
      </c>
      <c r="C18" s="57"/>
    </row>
    <row r="19" spans="1:3">
      <c r="A19" s="58"/>
      <c r="B19" s="8" t="s">
        <v>26</v>
      </c>
      <c r="C19" s="57"/>
    </row>
    <row r="20" spans="1:3">
      <c r="A20" s="58"/>
      <c r="B20" s="8" t="s">
        <v>30</v>
      </c>
      <c r="C20" s="57"/>
    </row>
    <row r="21" spans="1:3">
      <c r="A21" s="58"/>
      <c r="B21" s="8" t="s">
        <v>31</v>
      </c>
      <c r="C21" s="57"/>
    </row>
    <row r="22" spans="1:3">
      <c r="A22" s="58"/>
      <c r="B22" s="8" t="s">
        <v>38</v>
      </c>
      <c r="C22" s="57"/>
    </row>
    <row r="23" spans="1:3">
      <c r="A23" s="58"/>
      <c r="B23" s="11" t="s">
        <v>81</v>
      </c>
      <c r="C23" s="57"/>
    </row>
    <row r="24" spans="1:3" ht="27.6">
      <c r="A24" s="58"/>
      <c r="B24" s="11" t="s">
        <v>82</v>
      </c>
      <c r="C24" s="57"/>
    </row>
    <row r="25" spans="1:3">
      <c r="A25" s="58" t="s">
        <v>83</v>
      </c>
      <c r="B25" s="11" t="s">
        <v>40</v>
      </c>
    </row>
    <row r="26" spans="1:3">
      <c r="A26" s="58"/>
      <c r="B26" s="7" t="s">
        <v>41</v>
      </c>
    </row>
    <row r="27" spans="1:3" ht="27.6">
      <c r="A27" s="59" t="s">
        <v>42</v>
      </c>
      <c r="B27" s="21" t="s">
        <v>84</v>
      </c>
    </row>
    <row r="28" spans="1:3" ht="27.6">
      <c r="A28" s="59"/>
      <c r="B28" s="7" t="s">
        <v>43</v>
      </c>
    </row>
    <row r="29" spans="1:3" ht="82.9">
      <c r="A29" s="59"/>
      <c r="B29" s="11" t="s">
        <v>85</v>
      </c>
    </row>
    <row r="30" spans="1:3">
      <c r="A30" s="59"/>
      <c r="B30" s="11" t="s">
        <v>45</v>
      </c>
    </row>
    <row r="31" spans="1:3">
      <c r="A31" s="9" t="s">
        <v>46</v>
      </c>
      <c r="B31" s="8" t="s">
        <v>47</v>
      </c>
    </row>
    <row r="32" spans="1:3" ht="27.6">
      <c r="A32" s="51" t="s">
        <v>48</v>
      </c>
      <c r="B32" s="8" t="s">
        <v>49</v>
      </c>
    </row>
    <row r="33" spans="1:2" ht="29.25">
      <c r="A33" s="52"/>
      <c r="B33" s="8" t="s">
        <v>57</v>
      </c>
    </row>
    <row r="34" spans="1:2">
      <c r="A34" s="52"/>
      <c r="B34" s="8" t="s">
        <v>52</v>
      </c>
    </row>
    <row r="35" spans="1:2" ht="14.45">
      <c r="A35" s="52"/>
      <c r="B35" s="22" t="s">
        <v>86</v>
      </c>
    </row>
    <row r="36" spans="1:2">
      <c r="A36" s="53"/>
      <c r="B36" s="8" t="s">
        <v>54</v>
      </c>
    </row>
    <row r="37" spans="1:2">
      <c r="A37" s="10" t="s">
        <v>87</v>
      </c>
      <c r="B37" s="7" t="s">
        <v>88</v>
      </c>
    </row>
    <row r="38" spans="1:2">
      <c r="A38" s="48">
        <v>1.22</v>
      </c>
      <c r="B38" s="7" t="s">
        <v>24</v>
      </c>
    </row>
    <row r="39" spans="1:2" ht="27.6">
      <c r="A39" s="49"/>
      <c r="B39" s="7" t="s">
        <v>89</v>
      </c>
    </row>
    <row r="40" spans="1:2">
      <c r="A40" s="49"/>
      <c r="B40" s="7" t="s">
        <v>56</v>
      </c>
    </row>
    <row r="41" spans="1:2">
      <c r="A41" s="49"/>
      <c r="B41" s="7" t="s">
        <v>90</v>
      </c>
    </row>
    <row r="42" spans="1:2">
      <c r="A42" s="49"/>
      <c r="B42" s="7" t="s">
        <v>37</v>
      </c>
    </row>
    <row r="43" spans="1:2">
      <c r="A43" s="49"/>
      <c r="B43" s="7" t="s">
        <v>91</v>
      </c>
    </row>
    <row r="44" spans="1:2">
      <c r="A44" s="49"/>
      <c r="B44" s="7" t="s">
        <v>32</v>
      </c>
    </row>
    <row r="45" spans="1:2">
      <c r="A45" s="50"/>
      <c r="B45" s="7" t="s">
        <v>58</v>
      </c>
    </row>
  </sheetData>
  <mergeCells count="8">
    <mergeCell ref="A38:A45"/>
    <mergeCell ref="A32:A36"/>
    <mergeCell ref="A13:A16"/>
    <mergeCell ref="C17:C24"/>
    <mergeCell ref="A3:A10"/>
    <mergeCell ref="A17:A24"/>
    <mergeCell ref="A25:A26"/>
    <mergeCell ref="A27:A30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0385-3CB4-485F-B37F-6CEA06E5B248}">
  <dimension ref="A1:G30"/>
  <sheetViews>
    <sheetView workbookViewId="0">
      <pane ySplit="1" topLeftCell="A19" activePane="bottomLeft" state="frozen"/>
      <selection pane="bottomLeft" activeCell="B20" sqref="B20"/>
    </sheetView>
  </sheetViews>
  <sheetFormatPr defaultRowHeight="13.9"/>
  <cols>
    <col min="1" max="1" width="15.625" style="14" customWidth="1"/>
    <col min="2" max="2" width="60.625" style="7" customWidth="1"/>
    <col min="3" max="3" width="16.875" style="7" customWidth="1"/>
    <col min="4" max="4" width="30.625" style="7" customWidth="1"/>
    <col min="5" max="5" width="19" style="10" customWidth="1"/>
    <col min="6" max="6" width="22" style="30" customWidth="1"/>
    <col min="7" max="7" width="43.625" customWidth="1"/>
  </cols>
  <sheetData>
    <row r="1" spans="1:7">
      <c r="A1" s="14" t="s">
        <v>92</v>
      </c>
      <c r="B1" s="7" t="s">
        <v>93</v>
      </c>
      <c r="C1" s="7" t="s">
        <v>94</v>
      </c>
      <c r="D1" s="7" t="s">
        <v>95</v>
      </c>
      <c r="E1" s="10" t="s">
        <v>96</v>
      </c>
      <c r="F1" s="30" t="s">
        <v>97</v>
      </c>
      <c r="G1" t="s">
        <v>98</v>
      </c>
    </row>
    <row r="2" spans="1:7" ht="14.45">
      <c r="A2" s="59" t="s">
        <v>42</v>
      </c>
      <c r="B2" s="15" t="s">
        <v>99</v>
      </c>
      <c r="C2" s="15"/>
      <c r="D2" s="7" t="s">
        <v>100</v>
      </c>
      <c r="E2" s="10" t="s">
        <v>101</v>
      </c>
      <c r="F2" s="30" t="s">
        <v>102</v>
      </c>
      <c r="G2" t="s">
        <v>103</v>
      </c>
    </row>
    <row r="3" spans="1:7" ht="95.25" hidden="1" customHeight="1">
      <c r="A3" s="59"/>
      <c r="B3" s="18" t="s">
        <v>104</v>
      </c>
      <c r="C3" s="18"/>
      <c r="D3" s="20" t="s">
        <v>105</v>
      </c>
      <c r="E3" s="19" t="s">
        <v>106</v>
      </c>
    </row>
    <row r="4" spans="1:7" ht="57.75" customHeight="1">
      <c r="A4" s="59"/>
      <c r="B4" s="15" t="s">
        <v>107</v>
      </c>
      <c r="C4" s="15"/>
      <c r="D4" s="7" t="s">
        <v>100</v>
      </c>
      <c r="E4" s="10" t="s">
        <v>106</v>
      </c>
      <c r="F4" s="30" t="s">
        <v>102</v>
      </c>
      <c r="G4" t="s">
        <v>108</v>
      </c>
    </row>
    <row r="5" spans="1:7" ht="36" customHeight="1">
      <c r="A5" s="59"/>
      <c r="B5" s="15" t="s">
        <v>109</v>
      </c>
      <c r="C5" s="15"/>
      <c r="D5" s="7" t="s">
        <v>100</v>
      </c>
      <c r="E5" s="10" t="s">
        <v>110</v>
      </c>
      <c r="F5" s="30" t="s">
        <v>102</v>
      </c>
    </row>
    <row r="6" spans="1:7" ht="186" customHeight="1">
      <c r="A6" s="59"/>
      <c r="B6" s="15" t="s">
        <v>111</v>
      </c>
      <c r="C6" s="15"/>
      <c r="D6" s="7" t="s">
        <v>105</v>
      </c>
      <c r="E6" s="10" t="s">
        <v>112</v>
      </c>
      <c r="F6" s="30" t="s">
        <v>102</v>
      </c>
    </row>
    <row r="7" spans="1:7" ht="40.5" customHeight="1">
      <c r="A7" s="59"/>
      <c r="B7" s="15" t="s">
        <v>113</v>
      </c>
      <c r="C7" s="15"/>
      <c r="D7" s="7" t="s">
        <v>105</v>
      </c>
      <c r="E7" s="10" t="s">
        <v>110</v>
      </c>
      <c r="F7" s="30" t="s">
        <v>102</v>
      </c>
    </row>
    <row r="8" spans="1:7" ht="40.5" customHeight="1">
      <c r="A8" s="59"/>
      <c r="B8" s="15" t="s">
        <v>114</v>
      </c>
      <c r="C8" s="15"/>
      <c r="D8" s="7" t="s">
        <v>105</v>
      </c>
      <c r="E8" s="10" t="s">
        <v>106</v>
      </c>
      <c r="F8" s="30" t="s">
        <v>115</v>
      </c>
    </row>
    <row r="9" spans="1:7" ht="40.5" customHeight="1">
      <c r="A9" s="59"/>
      <c r="B9" s="15" t="s">
        <v>116</v>
      </c>
      <c r="C9" s="15"/>
      <c r="D9" s="7" t="s">
        <v>105</v>
      </c>
      <c r="E9" s="10" t="s">
        <v>106</v>
      </c>
    </row>
    <row r="10" spans="1:7" ht="40.5" customHeight="1">
      <c r="A10" s="59"/>
      <c r="B10" s="15" t="s">
        <v>117</v>
      </c>
      <c r="C10" s="15"/>
      <c r="D10" s="7" t="s">
        <v>105</v>
      </c>
      <c r="E10" s="10" t="s">
        <v>101</v>
      </c>
      <c r="F10" s="30" t="s">
        <v>115</v>
      </c>
    </row>
    <row r="11" spans="1:7" ht="40.5" customHeight="1">
      <c r="A11" s="59"/>
      <c r="B11" s="15" t="s">
        <v>118</v>
      </c>
      <c r="C11" s="15"/>
      <c r="E11" s="10" t="s">
        <v>101</v>
      </c>
    </row>
    <row r="12" spans="1:7" ht="40.5" customHeight="1">
      <c r="A12" s="59"/>
      <c r="B12" s="15" t="s">
        <v>119</v>
      </c>
      <c r="C12" s="15"/>
      <c r="D12" s="7" t="s">
        <v>120</v>
      </c>
      <c r="F12" s="30" t="s">
        <v>115</v>
      </c>
    </row>
    <row r="13" spans="1:7" ht="40.5" customHeight="1">
      <c r="A13" s="59"/>
      <c r="B13" s="15" t="s">
        <v>121</v>
      </c>
      <c r="C13" s="15"/>
    </row>
    <row r="14" spans="1:7" ht="40.5" customHeight="1">
      <c r="A14" s="59"/>
      <c r="B14" s="15" t="s">
        <v>122</v>
      </c>
      <c r="C14" s="15"/>
    </row>
    <row r="15" spans="1:7" ht="40.5" customHeight="1">
      <c r="A15" s="59"/>
      <c r="B15" s="15" t="s">
        <v>123</v>
      </c>
      <c r="C15" s="15"/>
    </row>
    <row r="16" spans="1:7" ht="100.9">
      <c r="A16" s="59" t="s">
        <v>124</v>
      </c>
      <c r="B16" s="15" t="s">
        <v>125</v>
      </c>
      <c r="C16" s="15">
        <v>4</v>
      </c>
      <c r="D16" s="7" t="s">
        <v>126</v>
      </c>
      <c r="E16" s="10" t="s">
        <v>110</v>
      </c>
    </row>
    <row r="17" spans="1:7" ht="86.45">
      <c r="A17" s="59"/>
      <c r="B17" s="15" t="s">
        <v>127</v>
      </c>
      <c r="C17" s="15">
        <v>2</v>
      </c>
      <c r="D17" s="7" t="s">
        <v>126</v>
      </c>
      <c r="E17" s="10" t="s">
        <v>112</v>
      </c>
      <c r="F17" s="30" t="s">
        <v>128</v>
      </c>
    </row>
    <row r="18" spans="1:7" ht="57.6">
      <c r="A18" s="59"/>
      <c r="B18" s="15" t="s">
        <v>129</v>
      </c>
      <c r="C18" s="15">
        <v>3</v>
      </c>
      <c r="D18" s="7" t="s">
        <v>130</v>
      </c>
      <c r="E18" s="10" t="s">
        <v>110</v>
      </c>
      <c r="F18" s="30" t="s">
        <v>131</v>
      </c>
    </row>
    <row r="19" spans="1:7" ht="129.75" customHeight="1">
      <c r="A19" s="59"/>
      <c r="B19" s="15" t="s">
        <v>132</v>
      </c>
      <c r="C19" s="15">
        <v>5</v>
      </c>
      <c r="D19" s="7" t="s">
        <v>130</v>
      </c>
      <c r="E19" s="10" t="s">
        <v>110</v>
      </c>
      <c r="F19" s="30" t="s">
        <v>133</v>
      </c>
    </row>
    <row r="20" spans="1:7" ht="45" customHeight="1">
      <c r="A20" s="25"/>
      <c r="B20" s="15" t="s">
        <v>134</v>
      </c>
      <c r="C20" s="15">
        <v>6</v>
      </c>
      <c r="D20" s="7" t="s">
        <v>130</v>
      </c>
      <c r="E20" s="10" t="s">
        <v>110</v>
      </c>
      <c r="F20" s="30" t="s">
        <v>135</v>
      </c>
    </row>
    <row r="21" spans="1:7" ht="45" customHeight="1">
      <c r="A21" s="25"/>
      <c r="B21" s="15" t="s">
        <v>136</v>
      </c>
      <c r="C21" s="15">
        <v>7</v>
      </c>
      <c r="D21" s="7" t="s">
        <v>137</v>
      </c>
      <c r="E21" s="10" t="s">
        <v>112</v>
      </c>
      <c r="F21" s="30" t="s">
        <v>138</v>
      </c>
    </row>
    <row r="22" spans="1:7" ht="111" customHeight="1">
      <c r="A22" s="60" t="s">
        <v>139</v>
      </c>
      <c r="B22" s="7" t="s">
        <v>140</v>
      </c>
      <c r="C22" s="7">
        <v>9</v>
      </c>
      <c r="D22" s="7" t="s">
        <v>126</v>
      </c>
      <c r="E22" s="10" t="s">
        <v>112</v>
      </c>
    </row>
    <row r="23" spans="1:7" ht="27.6">
      <c r="A23" s="60"/>
      <c r="B23" s="7" t="s">
        <v>141</v>
      </c>
      <c r="C23" s="7">
        <v>8</v>
      </c>
    </row>
    <row r="24" spans="1:7" ht="41.45">
      <c r="A24" s="60"/>
      <c r="B24" s="12" t="s">
        <v>142</v>
      </c>
      <c r="C24" s="12">
        <v>7</v>
      </c>
      <c r="D24" s="7" t="s">
        <v>143</v>
      </c>
      <c r="E24" s="10" t="s">
        <v>112</v>
      </c>
      <c r="F24" s="30" t="s">
        <v>138</v>
      </c>
    </row>
    <row r="25" spans="1:7" ht="120.75" customHeight="1">
      <c r="A25" s="14" t="s">
        <v>144</v>
      </c>
      <c r="B25" s="12" t="s">
        <v>145</v>
      </c>
      <c r="C25" s="12"/>
      <c r="D25" s="7" t="s">
        <v>146</v>
      </c>
      <c r="E25" s="10" t="s">
        <v>110</v>
      </c>
      <c r="G25" s="24" t="s">
        <v>147</v>
      </c>
    </row>
    <row r="26" spans="1:7" ht="42" customHeight="1">
      <c r="A26" s="60" t="s">
        <v>39</v>
      </c>
      <c r="B26" s="7" t="s">
        <v>148</v>
      </c>
      <c r="E26" s="10" t="s">
        <v>149</v>
      </c>
    </row>
    <row r="27" spans="1:7" ht="114" customHeight="1">
      <c r="A27" s="60"/>
      <c r="B27" s="7" t="s">
        <v>150</v>
      </c>
      <c r="C27" s="7">
        <v>11</v>
      </c>
      <c r="D27" s="7" t="s">
        <v>151</v>
      </c>
      <c r="E27" s="10" t="s">
        <v>110</v>
      </c>
    </row>
    <row r="28" spans="1:7" ht="41.45">
      <c r="A28" s="61"/>
      <c r="B28" s="26" t="s">
        <v>152</v>
      </c>
      <c r="C28" s="26">
        <v>10</v>
      </c>
      <c r="D28" s="26" t="s">
        <v>126</v>
      </c>
      <c r="E28" s="27" t="s">
        <v>112</v>
      </c>
      <c r="F28" s="31"/>
    </row>
    <row r="29" spans="1:7" ht="51" customHeight="1">
      <c r="B29" s="15" t="s">
        <v>153</v>
      </c>
      <c r="C29" s="16"/>
      <c r="D29" s="7" t="s">
        <v>130</v>
      </c>
    </row>
    <row r="30" spans="1:7" ht="124.15">
      <c r="A30" s="23" t="s">
        <v>154</v>
      </c>
      <c r="B30" s="28" t="s">
        <v>155</v>
      </c>
      <c r="C30" s="28">
        <v>1</v>
      </c>
      <c r="D30" s="28" t="s">
        <v>137</v>
      </c>
      <c r="E30" s="29" t="s">
        <v>110</v>
      </c>
      <c r="F30" s="32" t="s">
        <v>156</v>
      </c>
    </row>
  </sheetData>
  <mergeCells count="4">
    <mergeCell ref="A22:A24"/>
    <mergeCell ref="A26:A28"/>
    <mergeCell ref="A16:A19"/>
    <mergeCell ref="A2:A15"/>
  </mergeCells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CA8A-8F12-4FC6-840A-6F1157D317EF}">
  <dimension ref="A1:H24"/>
  <sheetViews>
    <sheetView workbookViewId="0">
      <pane ySplit="1" topLeftCell="A15" activePane="bottomLeft" state="frozen"/>
      <selection pane="bottomLeft" activeCell="B21" sqref="B21"/>
    </sheetView>
  </sheetViews>
  <sheetFormatPr defaultRowHeight="13.9"/>
  <cols>
    <col min="1" max="1" width="12" customWidth="1"/>
    <col min="2" max="2" width="65" style="24" customWidth="1"/>
    <col min="5" max="5" width="9.25" bestFit="1" customWidth="1"/>
    <col min="6" max="7" width="13" customWidth="1"/>
  </cols>
  <sheetData>
    <row r="1" spans="1:8" ht="27.6">
      <c r="A1" s="14" t="s">
        <v>92</v>
      </c>
      <c r="B1" s="7" t="s">
        <v>93</v>
      </c>
      <c r="C1" s="7" t="s">
        <v>94</v>
      </c>
      <c r="D1" s="7" t="s">
        <v>95</v>
      </c>
      <c r="E1" s="10" t="s">
        <v>96</v>
      </c>
      <c r="F1" s="30" t="s">
        <v>157</v>
      </c>
      <c r="G1" s="36" t="s">
        <v>97</v>
      </c>
      <c r="H1" t="s">
        <v>98</v>
      </c>
    </row>
    <row r="2" spans="1:8" ht="151.5" customHeight="1">
      <c r="A2" s="14" t="s">
        <v>154</v>
      </c>
      <c r="B2" s="7" t="s">
        <v>155</v>
      </c>
      <c r="C2" s="7">
        <v>1</v>
      </c>
      <c r="D2" s="7" t="s">
        <v>126</v>
      </c>
      <c r="E2" s="10" t="s">
        <v>110</v>
      </c>
      <c r="F2" s="30" t="s">
        <v>158</v>
      </c>
      <c r="G2" s="36" t="s">
        <v>102</v>
      </c>
    </row>
    <row r="3" spans="1:8" ht="105" customHeight="1">
      <c r="A3" s="10" t="s">
        <v>159</v>
      </c>
      <c r="B3" s="15" t="s">
        <v>127</v>
      </c>
      <c r="C3" s="15">
        <v>2</v>
      </c>
      <c r="D3" s="7" t="s">
        <v>126</v>
      </c>
      <c r="E3" s="10" t="s">
        <v>112</v>
      </c>
      <c r="F3" s="30" t="s">
        <v>160</v>
      </c>
      <c r="G3" s="36" t="s">
        <v>102</v>
      </c>
    </row>
    <row r="4" spans="1:8" ht="66.75" customHeight="1">
      <c r="A4" s="10" t="s">
        <v>159</v>
      </c>
      <c r="B4" s="38" t="s">
        <v>161</v>
      </c>
      <c r="C4" s="15">
        <v>3</v>
      </c>
      <c r="D4" s="7" t="s">
        <v>130</v>
      </c>
      <c r="E4" s="10" t="s">
        <v>101</v>
      </c>
      <c r="F4" s="30" t="s">
        <v>162</v>
      </c>
      <c r="G4" s="36" t="s">
        <v>102</v>
      </c>
    </row>
    <row r="5" spans="1:8" ht="105" customHeight="1">
      <c r="A5" s="10" t="s">
        <v>159</v>
      </c>
      <c r="B5" s="38" t="s">
        <v>163</v>
      </c>
      <c r="C5" s="15">
        <v>5</v>
      </c>
      <c r="D5" s="7" t="s">
        <v>137</v>
      </c>
      <c r="E5" s="10" t="s">
        <v>110</v>
      </c>
      <c r="F5" s="30" t="s">
        <v>164</v>
      </c>
      <c r="G5" s="36" t="s">
        <v>102</v>
      </c>
    </row>
    <row r="6" spans="1:8" ht="57.6">
      <c r="A6" s="10" t="s">
        <v>159</v>
      </c>
      <c r="B6" s="15" t="s">
        <v>165</v>
      </c>
      <c r="C6" s="15">
        <v>5</v>
      </c>
      <c r="D6" s="7" t="s">
        <v>130</v>
      </c>
      <c r="E6" s="10" t="s">
        <v>110</v>
      </c>
      <c r="F6" s="30"/>
      <c r="G6" s="36" t="s">
        <v>102</v>
      </c>
    </row>
    <row r="7" spans="1:8" ht="57.6">
      <c r="A7" s="10" t="s">
        <v>159</v>
      </c>
      <c r="B7" s="15" t="s">
        <v>166</v>
      </c>
      <c r="C7" s="15">
        <v>5</v>
      </c>
      <c r="D7" s="7" t="s">
        <v>126</v>
      </c>
      <c r="E7" s="10" t="s">
        <v>110</v>
      </c>
      <c r="F7" s="30" t="s">
        <v>167</v>
      </c>
      <c r="G7" s="36" t="s">
        <v>102</v>
      </c>
    </row>
    <row r="8" spans="1:8" ht="15.75">
      <c r="A8" s="10" t="s">
        <v>159</v>
      </c>
      <c r="B8" s="15" t="s">
        <v>168</v>
      </c>
      <c r="C8" s="15">
        <v>6</v>
      </c>
      <c r="D8" s="7" t="s">
        <v>126</v>
      </c>
      <c r="E8" s="10" t="s">
        <v>110</v>
      </c>
      <c r="F8" s="30" t="s">
        <v>169</v>
      </c>
      <c r="G8" s="36" t="s">
        <v>102</v>
      </c>
      <c r="H8" t="s">
        <v>170</v>
      </c>
    </row>
    <row r="9" spans="1:8" ht="33" customHeight="1">
      <c r="A9" s="10" t="s">
        <v>159</v>
      </c>
      <c r="B9" s="15" t="s">
        <v>171</v>
      </c>
      <c r="C9" s="15">
        <v>6</v>
      </c>
      <c r="D9" s="7" t="s">
        <v>130</v>
      </c>
      <c r="E9" s="10" t="s">
        <v>110</v>
      </c>
      <c r="F9" s="30" t="s">
        <v>169</v>
      </c>
      <c r="G9" s="36" t="s">
        <v>172</v>
      </c>
    </row>
    <row r="10" spans="1:8" ht="28.9">
      <c r="A10" s="10" t="s">
        <v>173</v>
      </c>
      <c r="B10" s="15" t="s">
        <v>136</v>
      </c>
      <c r="C10" s="15">
        <v>7</v>
      </c>
      <c r="D10" s="7" t="s">
        <v>137</v>
      </c>
      <c r="E10" s="10" t="s">
        <v>112</v>
      </c>
      <c r="F10" s="30" t="s">
        <v>174</v>
      </c>
      <c r="G10" s="36" t="s">
        <v>102</v>
      </c>
      <c r="H10" t="s">
        <v>170</v>
      </c>
    </row>
    <row r="11" spans="1:8" ht="29.25">
      <c r="A11" s="10" t="s">
        <v>139</v>
      </c>
      <c r="B11" s="12" t="s">
        <v>142</v>
      </c>
      <c r="C11" s="12">
        <v>7</v>
      </c>
      <c r="D11" s="7" t="s">
        <v>143</v>
      </c>
      <c r="E11" s="10" t="s">
        <v>112</v>
      </c>
      <c r="F11" s="30" t="s">
        <v>175</v>
      </c>
      <c r="G11" s="36" t="s">
        <v>102</v>
      </c>
    </row>
    <row r="12" spans="1:8" ht="15.75">
      <c r="A12" s="10" t="s">
        <v>139</v>
      </c>
      <c r="B12" s="39" t="s">
        <v>176</v>
      </c>
      <c r="C12" s="7">
        <v>8</v>
      </c>
      <c r="D12" s="7" t="s">
        <v>126</v>
      </c>
      <c r="E12" s="10" t="s">
        <v>177</v>
      </c>
      <c r="F12" s="30" t="s">
        <v>178</v>
      </c>
      <c r="G12" s="36" t="s">
        <v>172</v>
      </c>
    </row>
    <row r="13" spans="1:8" ht="83.25" customHeight="1">
      <c r="A13" s="10" t="s">
        <v>139</v>
      </c>
      <c r="B13" s="7" t="s">
        <v>140</v>
      </c>
      <c r="C13" s="7">
        <v>9</v>
      </c>
      <c r="D13" s="7" t="s">
        <v>126</v>
      </c>
      <c r="E13" s="10" t="s">
        <v>112</v>
      </c>
      <c r="F13" s="30" t="s">
        <v>179</v>
      </c>
      <c r="G13" s="36" t="s">
        <v>102</v>
      </c>
    </row>
    <row r="14" spans="1:8" ht="132.75" customHeight="1">
      <c r="A14" s="27" t="s">
        <v>159</v>
      </c>
      <c r="B14" s="38" t="s">
        <v>180</v>
      </c>
      <c r="C14" s="15">
        <v>4</v>
      </c>
      <c r="D14" s="7" t="s">
        <v>126</v>
      </c>
      <c r="E14" s="10" t="s">
        <v>101</v>
      </c>
      <c r="F14" s="27" t="s">
        <v>181</v>
      </c>
      <c r="G14" s="36" t="s">
        <v>102</v>
      </c>
      <c r="H14" t="s">
        <v>170</v>
      </c>
    </row>
    <row r="15" spans="1:8" ht="41.45">
      <c r="A15" s="10" t="s">
        <v>39</v>
      </c>
      <c r="B15" s="35" t="s">
        <v>152</v>
      </c>
      <c r="C15" s="26">
        <v>10</v>
      </c>
      <c r="D15" s="26" t="s">
        <v>126</v>
      </c>
      <c r="E15" s="34" t="s">
        <v>101</v>
      </c>
      <c r="F15" s="30" t="s">
        <v>182</v>
      </c>
      <c r="G15" s="36" t="s">
        <v>115</v>
      </c>
    </row>
    <row r="16" spans="1:8" ht="66" customHeight="1">
      <c r="A16" s="27" t="s">
        <v>39</v>
      </c>
      <c r="B16" s="35" t="s">
        <v>150</v>
      </c>
      <c r="C16" s="26">
        <v>11</v>
      </c>
      <c r="D16" s="26" t="s">
        <v>151</v>
      </c>
      <c r="E16" s="33" t="s">
        <v>101</v>
      </c>
      <c r="F16" s="27" t="s">
        <v>183</v>
      </c>
      <c r="G16" s="36" t="s">
        <v>184</v>
      </c>
    </row>
    <row r="17" spans="1:7" ht="41.45">
      <c r="A17" s="6" t="s">
        <v>144</v>
      </c>
      <c r="B17" s="12" t="s">
        <v>145</v>
      </c>
      <c r="C17" s="12">
        <v>12</v>
      </c>
      <c r="D17" s="7"/>
      <c r="E17" s="10" t="s">
        <v>185</v>
      </c>
      <c r="F17" s="27" t="s">
        <v>169</v>
      </c>
      <c r="G17" s="36" t="s">
        <v>184</v>
      </c>
    </row>
    <row r="18" spans="1:7">
      <c r="A18" s="27" t="s">
        <v>42</v>
      </c>
      <c r="B18" s="26" t="s">
        <v>186</v>
      </c>
      <c r="C18" s="27"/>
      <c r="D18" s="27"/>
      <c r="E18" s="27" t="s">
        <v>106</v>
      </c>
      <c r="F18" s="27" t="s">
        <v>179</v>
      </c>
      <c r="G18" s="37" t="s">
        <v>102</v>
      </c>
    </row>
    <row r="19" spans="1:7">
      <c r="A19" s="10" t="s">
        <v>173</v>
      </c>
      <c r="B19" s="7" t="s">
        <v>187</v>
      </c>
      <c r="C19" s="10"/>
      <c r="D19" s="10"/>
      <c r="E19" s="10" t="s">
        <v>112</v>
      </c>
      <c r="F19" s="10"/>
      <c r="G19" t="s">
        <v>102</v>
      </c>
    </row>
    <row r="20" spans="1:7">
      <c r="A20" s="10" t="s">
        <v>173</v>
      </c>
      <c r="B20" s="7" t="s">
        <v>8</v>
      </c>
      <c r="C20" s="10"/>
      <c r="D20" s="10"/>
      <c r="E20" s="10" t="s">
        <v>112</v>
      </c>
      <c r="F20" s="10"/>
    </row>
    <row r="21" spans="1:7">
      <c r="A21" s="10" t="s">
        <v>173</v>
      </c>
      <c r="B21" s="7" t="s">
        <v>9</v>
      </c>
      <c r="C21" s="10"/>
      <c r="D21" s="10"/>
      <c r="E21" s="10" t="s">
        <v>112</v>
      </c>
      <c r="F21" s="10"/>
    </row>
    <row r="24" spans="1:7">
      <c r="C24" s="24"/>
    </row>
  </sheetData>
  <autoFilter ref="A1:H21" xr:uid="{24DFCA8A-8F12-4FC6-840A-6F1157D317EF}"/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818A-594E-4094-9D9F-03EB987F767B}">
  <dimension ref="A1:D18"/>
  <sheetViews>
    <sheetView workbookViewId="0">
      <selection activeCell="B5" sqref="B5:B6"/>
    </sheetView>
  </sheetViews>
  <sheetFormatPr defaultRowHeight="13.9"/>
  <cols>
    <col min="1" max="1" width="15.625" style="14" customWidth="1"/>
    <col min="2" max="2" width="44.75" style="7" customWidth="1"/>
    <col min="3" max="3" width="30.625" style="17" customWidth="1"/>
    <col min="4" max="4" width="19" style="10" customWidth="1"/>
  </cols>
  <sheetData>
    <row r="1" spans="1:4">
      <c r="A1" s="14" t="s">
        <v>92</v>
      </c>
      <c r="B1" s="7" t="s">
        <v>93</v>
      </c>
      <c r="C1" s="17" t="s">
        <v>95</v>
      </c>
      <c r="D1" s="10" t="s">
        <v>96</v>
      </c>
    </row>
    <row r="2" spans="1:4" ht="14.45">
      <c r="A2" s="60" t="s">
        <v>124</v>
      </c>
      <c r="B2" s="15" t="s">
        <v>99</v>
      </c>
      <c r="C2" s="17" t="s">
        <v>188</v>
      </c>
      <c r="D2" s="10" t="s">
        <v>106</v>
      </c>
    </row>
    <row r="3" spans="1:4" ht="95.25" customHeight="1">
      <c r="A3" s="60"/>
      <c r="B3" s="15" t="s">
        <v>104</v>
      </c>
      <c r="C3" s="17" t="s">
        <v>188</v>
      </c>
      <c r="D3" s="10" t="s">
        <v>106</v>
      </c>
    </row>
    <row r="4" spans="1:4" ht="57.75" customHeight="1">
      <c r="A4" s="60"/>
      <c r="B4" s="15" t="s">
        <v>189</v>
      </c>
      <c r="C4" s="17" t="s">
        <v>188</v>
      </c>
      <c r="D4" s="10" t="s">
        <v>106</v>
      </c>
    </row>
    <row r="5" spans="1:4" ht="28.9">
      <c r="A5" s="60"/>
      <c r="B5" s="15" t="s">
        <v>190</v>
      </c>
      <c r="C5" s="17" t="s">
        <v>191</v>
      </c>
      <c r="D5" s="10" t="s">
        <v>106</v>
      </c>
    </row>
    <row r="6" spans="1:4" ht="28.9">
      <c r="A6" s="60"/>
      <c r="B6" s="15" t="s">
        <v>192</v>
      </c>
      <c r="C6" s="17" t="s">
        <v>191</v>
      </c>
      <c r="D6" s="10" t="s">
        <v>106</v>
      </c>
    </row>
    <row r="7" spans="1:4" ht="14.45">
      <c r="A7" s="60"/>
      <c r="B7" s="15" t="s">
        <v>193</v>
      </c>
      <c r="C7" s="17" t="s">
        <v>188</v>
      </c>
      <c r="D7" s="10" t="s">
        <v>112</v>
      </c>
    </row>
    <row r="8" spans="1:4" ht="14.45">
      <c r="A8" s="60"/>
      <c r="B8" s="15" t="s">
        <v>194</v>
      </c>
      <c r="C8" s="17" t="s">
        <v>191</v>
      </c>
      <c r="D8" s="10" t="s">
        <v>112</v>
      </c>
    </row>
    <row r="9" spans="1:4" ht="14.45">
      <c r="A9" s="60"/>
      <c r="B9" s="15" t="s">
        <v>195</v>
      </c>
      <c r="C9" s="17" t="s">
        <v>191</v>
      </c>
      <c r="D9" s="10" t="s">
        <v>112</v>
      </c>
    </row>
    <row r="10" spans="1:4" ht="14.45">
      <c r="A10" s="60"/>
      <c r="B10" s="16" t="s">
        <v>196</v>
      </c>
    </row>
    <row r="11" spans="1:4">
      <c r="A11" s="60" t="s">
        <v>139</v>
      </c>
      <c r="B11" s="7" t="s">
        <v>197</v>
      </c>
      <c r="C11" s="17" t="s">
        <v>188</v>
      </c>
      <c r="D11" s="10" t="s">
        <v>112</v>
      </c>
    </row>
    <row r="12" spans="1:4">
      <c r="A12" s="60"/>
      <c r="B12" s="7" t="s">
        <v>198</v>
      </c>
      <c r="C12" s="17" t="s">
        <v>191</v>
      </c>
      <c r="D12" s="10" t="s">
        <v>112</v>
      </c>
    </row>
    <row r="13" spans="1:4">
      <c r="A13" s="60"/>
      <c r="B13" s="8" t="s">
        <v>199</v>
      </c>
    </row>
    <row r="14" spans="1:4" ht="27.6">
      <c r="A14" s="14" t="s">
        <v>144</v>
      </c>
      <c r="B14" s="8" t="s">
        <v>200</v>
      </c>
    </row>
    <row r="15" spans="1:4" ht="42" customHeight="1">
      <c r="A15" s="61" t="s">
        <v>201</v>
      </c>
      <c r="B15" s="7" t="s">
        <v>148</v>
      </c>
      <c r="D15" s="10" t="s">
        <v>149</v>
      </c>
    </row>
    <row r="16" spans="1:4" ht="27.6">
      <c r="A16" s="62"/>
      <c r="B16" s="7" t="s">
        <v>202</v>
      </c>
      <c r="C16" s="17" t="s">
        <v>188</v>
      </c>
      <c r="D16" s="10" t="s">
        <v>110</v>
      </c>
    </row>
    <row r="17" spans="1:4">
      <c r="A17" s="61" t="s">
        <v>203</v>
      </c>
      <c r="B17" s="7" t="s">
        <v>204</v>
      </c>
      <c r="C17" s="17" t="s">
        <v>191</v>
      </c>
      <c r="D17" s="10" t="s">
        <v>110</v>
      </c>
    </row>
    <row r="18" spans="1:4" ht="69">
      <c r="A18" s="62"/>
      <c r="B18" s="7" t="s">
        <v>205</v>
      </c>
      <c r="C18" s="17" t="s">
        <v>191</v>
      </c>
      <c r="D18" s="10" t="s">
        <v>110</v>
      </c>
    </row>
  </sheetData>
  <mergeCells count="4">
    <mergeCell ref="A2:A10"/>
    <mergeCell ref="A11:A13"/>
    <mergeCell ref="A15:A16"/>
    <mergeCell ref="A17:A1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C77C-E392-4678-8F50-41B7726C5078}">
  <dimension ref="A1:C12"/>
  <sheetViews>
    <sheetView workbookViewId="0">
      <selection activeCell="D8" sqref="D8"/>
    </sheetView>
  </sheetViews>
  <sheetFormatPr defaultRowHeight="13.9"/>
  <cols>
    <col min="1" max="1" width="17.25" style="1" customWidth="1"/>
    <col min="2" max="2" width="42.625" style="2" customWidth="1"/>
    <col min="3" max="3" width="32.75" style="1" customWidth="1"/>
    <col min="4" max="4" width="34.875" customWidth="1"/>
  </cols>
  <sheetData>
    <row r="1" spans="1:3" ht="14.45">
      <c r="A1" s="1" t="s">
        <v>0</v>
      </c>
      <c r="B1" s="4" t="s">
        <v>206</v>
      </c>
      <c r="C1" s="3" t="s">
        <v>207</v>
      </c>
    </row>
    <row r="2" spans="1:3">
      <c r="A2" s="63" t="s">
        <v>18</v>
      </c>
      <c r="B2" s="2" t="s">
        <v>208</v>
      </c>
      <c r="C2" s="63">
        <v>10</v>
      </c>
    </row>
    <row r="3" spans="1:3">
      <c r="A3" s="63"/>
      <c r="B3" s="2" t="s">
        <v>209</v>
      </c>
      <c r="C3" s="63"/>
    </row>
    <row r="4" spans="1:3">
      <c r="A4" s="63"/>
      <c r="B4" s="2" t="s">
        <v>210</v>
      </c>
      <c r="C4" s="63"/>
    </row>
    <row r="5" spans="1:3">
      <c r="A5" s="63"/>
      <c r="B5" s="2" t="s">
        <v>211</v>
      </c>
      <c r="C5" s="63"/>
    </row>
    <row r="6" spans="1:3" ht="41.45">
      <c r="A6" s="63" t="s">
        <v>48</v>
      </c>
      <c r="B6" s="2" t="s">
        <v>49</v>
      </c>
      <c r="C6" s="63">
        <v>10</v>
      </c>
    </row>
    <row r="7" spans="1:3">
      <c r="A7" s="63"/>
      <c r="B7" s="2" t="s">
        <v>212</v>
      </c>
      <c r="C7" s="63"/>
    </row>
    <row r="8" spans="1:3" ht="81.75" customHeight="1">
      <c r="A8" s="1" t="s">
        <v>66</v>
      </c>
      <c r="B8" s="2" t="s">
        <v>213</v>
      </c>
      <c r="C8" s="1">
        <v>10</v>
      </c>
    </row>
    <row r="9" spans="1:3" ht="33" customHeight="1">
      <c r="A9" s="1" t="s">
        <v>42</v>
      </c>
      <c r="B9" s="5" t="s">
        <v>214</v>
      </c>
      <c r="C9" s="1">
        <v>10</v>
      </c>
    </row>
    <row r="10" spans="1:3">
      <c r="A10" s="63" t="s">
        <v>215</v>
      </c>
      <c r="B10" s="2" t="s">
        <v>216</v>
      </c>
      <c r="C10" s="63">
        <v>20</v>
      </c>
    </row>
    <row r="11" spans="1:3">
      <c r="A11" s="63"/>
      <c r="B11" s="2" t="s">
        <v>217</v>
      </c>
      <c r="C11" s="63"/>
    </row>
    <row r="12" spans="1:3">
      <c r="C12" s="1">
        <f>SUM(C2:C11)</f>
        <v>60</v>
      </c>
    </row>
  </sheetData>
  <mergeCells count="6">
    <mergeCell ref="A10:A11"/>
    <mergeCell ref="C10:C11"/>
    <mergeCell ref="A2:A5"/>
    <mergeCell ref="C2:C5"/>
    <mergeCell ref="A6:A7"/>
    <mergeCell ref="C6:C7"/>
  </mergeCells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48d4e-4224-4c7a-8608-898c51e78912">
      <Terms xmlns="http://schemas.microsoft.com/office/infopath/2007/PartnerControls"/>
    </lcf76f155ced4ddcb4097134ff3c332f>
    <TaxCatchAll xmlns="30815c24-6ea2-4348-8d1f-484b64b931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C34016242F74A8703056798E1EE2F" ma:contentTypeVersion="12" ma:contentTypeDescription="Create a new document." ma:contentTypeScope="" ma:versionID="892004d7ce5abfad9346eb54021a6754">
  <xsd:schema xmlns:xsd="http://www.w3.org/2001/XMLSchema" xmlns:xs="http://www.w3.org/2001/XMLSchema" xmlns:p="http://schemas.microsoft.com/office/2006/metadata/properties" xmlns:ns2="aa948d4e-4224-4c7a-8608-898c51e78912" xmlns:ns3="30815c24-6ea2-4348-8d1f-484b64b931dc" targetNamespace="http://schemas.microsoft.com/office/2006/metadata/properties" ma:root="true" ma:fieldsID="c15ae649b845112905829f50c4d4df0b" ns2:_="" ns3:_="">
    <xsd:import namespace="aa948d4e-4224-4c7a-8608-898c51e78912"/>
    <xsd:import namespace="30815c24-6ea2-4348-8d1f-484b64b9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48d4e-4224-4c7a-8608-898c51e7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15c24-6ea2-4348-8d1f-484b64b931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44b5e-3328-48e3-ba5d-a1ac948837a9}" ma:internalName="TaxCatchAll" ma:showField="CatchAllData" ma:web="30815c24-6ea2-4348-8d1f-484b64b93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58947-02A2-4D0D-95BF-DF4E6885CFED}"/>
</file>

<file path=customXml/itemProps2.xml><?xml version="1.0" encoding="utf-8"?>
<ds:datastoreItem xmlns:ds="http://schemas.openxmlformats.org/officeDocument/2006/customXml" ds:itemID="{E858FA37-B016-4A93-955B-2611FC4E47FC}"/>
</file>

<file path=customXml/itemProps3.xml><?xml version="1.0" encoding="utf-8"?>
<ds:datastoreItem xmlns:ds="http://schemas.openxmlformats.org/officeDocument/2006/customXml" ds:itemID="{86A10EA1-400C-44B7-AC18-49CDF28F0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2025-12-16T06:08:46Z</dcterms:created>
  <dcterms:modified xsi:type="dcterms:W3CDTF">2026-03-14T11:25:27Z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0x0101003D7C34016242F74A8703056798E1EE2F</vt:lpwstr>
  </property>
  <property fmtid="{D5CDD505-2E9C-101B-9397-08002B2CF9AE}" pid="3" name="MediaServiceImageTags">
    <vt:lpwstr/>
  </property>
  <property fmtid="{D5CDD505-2E9C-101B-9397-08002B2CF9AE}" pid="4" name="MSIP_Label_3b623b29-abd1-4de3-a20c-27566d79b7c7_Enabled">
    <vt:lpwstr>true</vt:lpwstr>
  </property>
  <property fmtid="{D5CDD505-2E9C-101B-9397-08002B2CF9AE}" pid="5" name="MSIP_Label_3b623b29-abd1-4de3-a20c-27566d79b7c7_SetDate">
    <vt:lpwstr>2026-02-11T01:36:27Z</vt:lpwstr>
  </property>
  <property fmtid="{D5CDD505-2E9C-101B-9397-08002B2CF9AE}" pid="6" name="MSIP_Label_3b623b29-abd1-4de3-a20c-27566d79b7c7_Method">
    <vt:lpwstr>Standard</vt:lpwstr>
  </property>
  <property fmtid="{D5CDD505-2E9C-101B-9397-08002B2CF9AE}" pid="7" name="MSIP_Label_3b623b29-abd1-4de3-a20c-27566d79b7c7_Name">
    <vt:lpwstr>3b623b29-abd1-4de3-a20c-27566d79b7c7</vt:lpwstr>
  </property>
  <property fmtid="{D5CDD505-2E9C-101B-9397-08002B2CF9AE}" pid="8" name="MSIP_Label_3b623b29-abd1-4de3-a20c-27566d79b7c7_SiteId">
    <vt:lpwstr>cbede638-a3d9-459f-8f4e-24ced73b4e5e</vt:lpwstr>
  </property>
  <property fmtid="{D5CDD505-2E9C-101B-9397-08002B2CF9AE}" pid="9" name="MSIP_Label_3b623b29-abd1-4de3-a20c-27566d79b7c7_ActionId">
    <vt:lpwstr>8adea4aa-9dc4-487e-89cd-5b3c86df59ac</vt:lpwstr>
  </property>
  <property fmtid="{D5CDD505-2E9C-101B-9397-08002B2CF9AE}" pid="10" name="MSIP_Label_3b623b29-abd1-4de3-a20c-27566d79b7c7_ContentBits">
    <vt:lpwstr>0</vt:lpwstr>
  </property>
  <property fmtid="{D5CDD505-2E9C-101B-9397-08002B2CF9AE}" pid="11" name="MSIP_Label_3b623b29-abd1-4de3-a20c-27566d79b7c7_Tag">
    <vt:lpwstr>10, 3, 0, 2</vt:lpwstr>
  </property>
</Properties>
</file>